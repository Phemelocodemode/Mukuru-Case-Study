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– Monthly Paid Orders" sheetId="1" state="visible" r:id="rId3"/>
    <sheet name="Q1 – Calculations" sheetId="2" state="visible" r:id="rId4"/>
    <sheet name="Q2 – Calculations" sheetId="3" state="visible" r:id="rId5"/>
    <sheet name="Assumptions &amp; Defini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<sst xmlns="http://schemas.openxmlformats.org/spreadsheetml/2006/main" count="97" uniqueCount="79">
  <si>
    <t xml:space="preserve">RAW DATA – Monthly Paid Orders (Apr 2012 – Apr 2013)</t>
  </si>
  <si>
    <t xml:space="preserve">Source: Orders dataset | Filters: OrderPaid is valid date; OrderCancelled is sentinel (1900/1970/0)</t>
  </si>
  <si>
    <t xml:space="preserve">Month</t>
  </si>
  <si>
    <t xml:space="preserve">Paid Orders</t>
  </si>
  <si>
    <t xml:space="preserve">Prior Month Orders</t>
  </si>
  <si>
    <t xml:space="preserve">Prior Year Orders (same month)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</si>
  <si>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</si>
  <si>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</si>
  <si>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</si>
  <si>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</si>
  <si>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</si>
  <si>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</si>
  <si>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</si>
  <si>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</si>
  <si>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</si>
  <si>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</si>
  <si>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</si>
  <si>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</si>
  <si>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</si>
  <si>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Legend:</t>
  </si>
  <si>
    <t xml:space="preserve">Blue = hardcoded source value (input from dataset)</t>
  </si>
  <si>
    <t xml:space="preserve">QUESTION 1 – PAID ORDERS: MoM &amp; YoY CALCULATIONS</t>
  </si>
  <si>
    <t xml:space="preserve">Commercial Team | Last 13 months: Apr 2012 – Apr 2013 | Slicers: PayIn Country, PayOut Country, Date</t>
  </si>
  <si>
    <t xml:space="preserve">MoM (%) = (Current Month Orders – Prior Month Orders) / Prior Month Orders × 100  |  YoY (%) = (Current Month Orders – Same Month Prior Year Orders) / Same Month Prior Year Orders × 100  |  April 2013 YoY uses MTD vs MTD (up to day 14) per glossary</t>
  </si>
  <si>
    <t xml:space="preserve">Prior Month
Orders</t>
  </si>
  <si>
    <t xml:space="preserve">MoM Change
(%)</t>
  </si>
  <si>
    <t xml:space="preserve">Prior Year
Orders</t>
  </si>
  <si>
    <t xml:space="preserve">YoY Change
(%)</t>
  </si>
  <si>
    <t xml:space="preserve">N/A</t>
  </si>
  <si>
    <t xml:space="preserve">TOTAL / AVG</t>
  </si>
  <si>
    <t xml:space="preserve">—</t>
  </si>
  <si>
    <t xml:space="preserve">Colour Legend:</t>
  </si>
  <si>
    <t xml:space="preserve">Blue text = hardcoded input value</t>
  </si>
  <si>
    <t xml:space="preserve">Green text = formula linking from another sheet</t>
  </si>
  <si>
    <t xml:space="preserve">Black text = calculated formula (MoM/YoY)</t>
  </si>
  <si>
    <t xml:space="preserve">QUESTION 2 – ACTIVE CUSTOMERS &amp; MONTHLY REPEAT SENDERS</t>
  </si>
  <si>
    <t xml:space="preserve">Customer Journey Team | Last 13 months: Apr 2012 – Apr 2013 | Slicers: PayIn Country, PayOut Country</t>
  </si>
  <si>
    <t xml:space="preserve">Active Customers = DISTINCT SenderKeys across current + 2 prior months (3-month rolling)  |  Repeat Sender Rate (%) = Monthly Repeat Senders / Transacting Customers in preceding month × 100</t>
  </si>
  <si>
    <t xml:space="preserve">Q2.1 – Active Customers (3-Month Rolling Unique Senders)</t>
  </si>
  <si>
    <t xml:space="preserve">Active Customers
(3-Month Rolling)</t>
  </si>
  <si>
    <t xml:space="preserve">Transacting
Customers (Current)</t>
  </si>
  <si>
    <t xml:space="preserve">Prev Month
Customers</t>
  </si>
  <si>
    <t xml:space="preserve">Monthly Repeat
Senders</t>
  </si>
  <si>
    <t xml:space="preserve">Repeat Sender
Rate (%)</t>
  </si>
  <si>
    <t xml:space="preserve">AVG (full months)</t>
  </si>
  <si>
    <t xml:space="preserve">* Apr 2013 is a partial month (data available to 14 Apr 2013 only). Averages above exclude Apr 2013 for a fair representation of full-month performance.</t>
  </si>
  <si>
    <t xml:space="preserve">ASSUMPTIONS, DEFINITIONS &amp; DATA NOTES</t>
  </si>
  <si>
    <t xml:space="preserve">ITEM</t>
  </si>
  <si>
    <t xml:space="preserve">DETAIL</t>
  </si>
  <si>
    <t xml:space="preserve">Reporting Period</t>
  </si>
  <si>
    <t xml:space="preserve">Last 13 months: April 2012 – April 2013</t>
  </si>
  <si>
    <t xml:space="preserve">Latest Month in Dataset</t>
  </si>
  <si>
    <t xml:space="preserve">April 2013 — partial month, data available to 14 April 2013 only</t>
  </si>
  <si>
    <t xml:space="preserve">Paid Order Definition</t>
  </si>
  <si>
    <t xml:space="preserve">OrderPaid is a valid date — excluding sentinel values 1900-01-01, 1970-01-01 and 0</t>
  </si>
  <si>
    <t xml:space="preserve">Cancelled Orders</t>
  </si>
  <si>
    <t xml:space="preserve">Excluded from all analysis. Identified where OrderCancelled field is a valid non-sentinel date</t>
  </si>
  <si>
    <t xml:space="preserve">MoM % Formula</t>
  </si>
  <si>
    <t xml:space="preserve">(Current Month Orders - Prior Month Orders) / Prior Month Orders x 100. For partial months: MTD vs preceding MTD</t>
  </si>
  <si>
    <t xml:space="preserve">YoY % Formula</t>
  </si>
  <si>
    <t xml:space="preserve">(Current Month Orders - Same Month Prior Year) / Same Month Prior Year x 100. April 2013 YoY uses orders up to day 14 in April 2012 (MTD vs MTD)</t>
  </si>
  <si>
    <t xml:space="preserve">Active Customers Definition</t>
  </si>
  <si>
    <t xml:space="preserve">3-month rolling count of DISTINCT SenderKeys who paid for at least one order across current month and 2 preceding months</t>
  </si>
  <si>
    <t xml:space="preserve">Monthly Repeat Senders</t>
  </si>
  <si>
    <t xml:space="preserve">Customers (SenderKey) who transacted in BOTH the current month AND the preceding month</t>
  </si>
  <si>
    <t xml:space="preserve">Repeat Sender Rate Formula</t>
  </si>
  <si>
    <t xml:space="preserve">(Monthly Repeat Senders / Transacting Customers in preceding month) x 100</t>
  </si>
  <si>
    <t xml:space="preserve">PayIn Countries in Dataset</t>
  </si>
  <si>
    <t xml:space="preserve">South Africa (CountryKey 205) — 568,500 orders | Botswana (CountryKey 28) — 138 orders</t>
  </si>
  <si>
    <t xml:space="preserve">PayOut Countries (Top 3)</t>
  </si>
  <si>
    <t xml:space="preserve">Zimbabwe 72% | Malawi 27% | Zambia 0.9% (remaining corridors &lt;1% each)</t>
  </si>
  <si>
    <t xml:space="preserve">FX Rates Applied</t>
  </si>
  <si>
    <t xml:space="preserve">USD 1 = ZAR 15 | BWP 1 = ZAR 1.25 (per glossary additional notes)</t>
  </si>
  <si>
    <t xml:space="preserve">DATA ANOMALY 1</t>
  </si>
  <si>
    <t xml:space="preserve">Botswana PayIn has only 138 orders (0.02% of total). Likely a newer market or limited dataset period</t>
  </si>
  <si>
    <t xml:space="preserve">DATA ANOMALY 2</t>
  </si>
  <si>
    <t xml:space="preserve">April 2013 is incomplete — MoM decline of -68% is expected and does not represent a real business downturn</t>
  </si>
  <si>
    <t xml:space="preserve">DATA ANOMALY 3</t>
  </si>
  <si>
    <t xml:space="preserve">Sentinel dates (1970-01-01, 1900-01-01) used in OrderPaid/OrderCancelled fields to represent null/unpaid states — filtered out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</si>
</sst>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C0392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2C3E5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0"/>
      <color rgb="FF2C3E5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2C3E50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1"/>
      <color rgb="FF2C3E50"/>
      <name val="Calibri"/>
      <family val="0"/>
      <charset val="1"/>
    </font>
    <font>
      <b val="true"/>
      <sz val="11"/>
      <color rgb="FF1E8449"/>
      <name val="Calibri"/>
      <family val="0"/>
      <charset val="1"/>
    </font>
    <font>
      <b val="true"/>
      <sz val="11"/>
      <color rgb="FFC0392B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color rgb="FFC0392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BBBBB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5" min="3" style="1" width="18"/>
  </cols>
  <sheetData>
    <row r="2" customFormat="false" ht="30" hidden="false" customHeight="true" outlineLevel="0" collapsed="false">
      <c r="B2" s="2" t="s">
        <v>0</v>
      </c>
      <c r="C2" s="2"/>
      <c r="D2" s="2"/>
      <c r="E2" s="2"/>
    </row>
    <row r="3" customFormat="false" ht="19.5" hidden="false" customHeight="true" outlineLevel="0" collapsed="false">
      <c r="B3" s="3" t="s">
        <v>1</v>
      </c>
      <c r="C3" s="3"/>
      <c r="D3" s="3"/>
      <c r="E3" s="3"/>
    </row>
    <row r="5" customFormat="false" ht="30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</row>
    <row r="6" customFormat="false" ht="19.5" hidden="false" customHeight="true" outlineLevel="0" collapsed="false">
      <c r="B6" s="5" t="s">
        <v>6</v>
      </c>
      <c r="C6" s="6" t="n">
        <v>19272</v>
      </c>
      <c r="D6" s="6"/>
      <c r="E6" s="6" t="n">
        <v>1741</v>
      </c>
    </row>
    <row r="7" customFormat="false" ht="19.5" hidden="false" customHeight="true" outlineLevel="0" collapsed="false">
      <c r="B7" s="7" t="s">
        <v>7</v>
      </c>
      <c r="C7" s="8" t="n">
        <v>24787</v>
      </c>
      <c r="D7" s="8" t="n">
        <v>19272</v>
      </c>
      <c r="E7" s="8" t="n">
        <v>4000</v>
      </c>
    </row>
    <row r="8" customFormat="false" ht="19.5" hidden="false" customHeight="true" outlineLevel="0" collapsed="false">
      <c r="B8" s="5" t="s">
        <v>8</v>
      </c>
      <c r="C8" s="6" t="n">
        <v>22169</v>
      </c>
      <c r="D8" s="6" t="n">
        <v>24787</v>
      </c>
      <c r="E8" s="6" t="n">
        <v>4864</v>
      </c>
    </row>
    <row r="9" customFormat="false" ht="19.5" hidden="false" customHeight="true" outlineLevel="0" collapsed="false">
      <c r="B9" s="7" t="s">
        <v>9</v>
      </c>
      <c r="C9" s="8" t="n">
        <v>25164</v>
      </c>
      <c r="D9" s="8" t="n">
        <v>22169</v>
      </c>
      <c r="E9" s="8" t="n">
        <v>6308</v>
      </c>
    </row>
    <row r="10" customFormat="false" ht="19.5" hidden="false" customHeight="true" outlineLevel="0" collapsed="false">
      <c r="B10" s="5" t="s">
        <v>10</v>
      </c>
      <c r="C10" s="6" t="n">
        <v>24170</v>
      </c>
      <c r="D10" s="6" t="n">
        <v>25164</v>
      </c>
      <c r="E10" s="6" t="n">
        <v>8288</v>
      </c>
    </row>
    <row r="11" customFormat="false" ht="19.5" hidden="false" customHeight="true" outlineLevel="0" collapsed="false">
      <c r="B11" s="7" t="s">
        <v>11</v>
      </c>
      <c r="C11" s="8" t="n">
        <v>22952</v>
      </c>
      <c r="D11" s="8" t="n">
        <v>24170</v>
      </c>
      <c r="E11" s="8" t="n">
        <v>8512</v>
      </c>
    </row>
    <row r="12" customFormat="false" ht="19.5" hidden="false" customHeight="true" outlineLevel="0" collapsed="false">
      <c r="B12" s="5" t="s">
        <v>12</v>
      </c>
      <c r="C12" s="6" t="n">
        <v>25638</v>
      </c>
      <c r="D12" s="6" t="n">
        <v>22952</v>
      </c>
      <c r="E12" s="6" t="n">
        <v>10115</v>
      </c>
    </row>
    <row r="13" customFormat="false" ht="19.5" hidden="false" customHeight="true" outlineLevel="0" collapsed="false">
      <c r="B13" s="7" t="s">
        <v>13</v>
      </c>
      <c r="C13" s="8" t="n">
        <v>25808</v>
      </c>
      <c r="D13" s="8" t="n">
        <v>25638</v>
      </c>
      <c r="E13" s="8" t="n">
        <v>12040</v>
      </c>
    </row>
    <row r="14" customFormat="false" ht="19.5" hidden="false" customHeight="true" outlineLevel="0" collapsed="false">
      <c r="B14" s="5" t="s">
        <v>14</v>
      </c>
      <c r="C14" s="6" t="n">
        <v>30978</v>
      </c>
      <c r="D14" s="6" t="n">
        <v>25808</v>
      </c>
      <c r="E14" s="6" t="n">
        <v>14808</v>
      </c>
    </row>
    <row r="15" customFormat="false" ht="19.5" hidden="false" customHeight="true" outlineLevel="0" collapsed="false">
      <c r="B15" s="7" t="s">
        <v>15</v>
      </c>
      <c r="C15" s="8" t="n">
        <v>31327</v>
      </c>
      <c r="D15" s="8" t="n">
        <v>30978</v>
      </c>
      <c r="E15" s="8" t="n">
        <v>15633</v>
      </c>
    </row>
    <row r="16" customFormat="false" ht="19.5" hidden="false" customHeight="true" outlineLevel="0" collapsed="false">
      <c r="B16" s="5" t="s">
        <v>16</v>
      </c>
      <c r="C16" s="6" t="n">
        <v>27305</v>
      </c>
      <c r="D16" s="6" t="n">
        <v>31327</v>
      </c>
      <c r="E16" s="6" t="n">
        <v>15469</v>
      </c>
    </row>
    <row r="17" customFormat="false" ht="19.5" hidden="false" customHeight="true" outlineLevel="0" collapsed="false">
      <c r="B17" s="7" t="s">
        <v>17</v>
      </c>
      <c r="C17" s="8" t="n">
        <v>38336</v>
      </c>
      <c r="D17" s="8" t="n">
        <v>27305</v>
      </c>
      <c r="E17" s="8" t="n">
        <v>18523</v>
      </c>
    </row>
    <row r="18" customFormat="false" ht="19.5" hidden="false" customHeight="true" outlineLevel="0" collapsed="false">
      <c r="B18" s="5" t="s">
        <v>18</v>
      </c>
      <c r="C18" s="6" t="n">
        <v>12158</v>
      </c>
      <c r="D18" s="6" t="n">
        <v>38336</v>
      </c>
      <c r="E18" s="6" t="n">
        <v>7900</v>
      </c>
    </row>
    <row r="21" customFormat="false" ht="15" hidden="false" customHeight="true" outlineLevel="0" collapsed="false">
      <c r="B21" s="9" t="s">
        <v>19</v>
      </c>
      <c r="C21" s="10" t="s">
        <v>20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</cols>
  <sheetData>
    <row r="2" customFormat="false" ht="30" hidden="false" customHeight="true" outlineLevel="0" collapsed="false">
      <c r="B2" s="11" t="s">
        <v>21</v>
      </c>
      <c r="C2" s="11"/>
      <c r="D2" s="11"/>
      <c r="E2" s="11"/>
      <c r="F2" s="11"/>
      <c r="G2" s="11"/>
    </row>
    <row r="3" customFormat="false" ht="18" hidden="false" customHeight="true" outlineLevel="0" collapsed="false">
      <c r="B3" s="12" t="s">
        <v>22</v>
      </c>
      <c r="C3" s="12"/>
      <c r="D3" s="12"/>
      <c r="E3" s="12"/>
      <c r="F3" s="12"/>
      <c r="G3" s="12"/>
    </row>
    <row r="4" customFormat="false" ht="27.75" hidden="false" customHeight="true" outlineLevel="0" collapsed="false">
      <c r="B4" s="3" t="s">
        <v>23</v>
      </c>
      <c r="C4" s="3"/>
      <c r="D4" s="3"/>
      <c r="E4" s="3"/>
      <c r="F4" s="3"/>
      <c r="G4" s="3"/>
    </row>
    <row r="6" customFormat="false" ht="34.5" hidden="false" customHeight="true" outlineLevel="0" collapsed="false">
      <c r="B6" s="13" t="s">
        <v>2</v>
      </c>
      <c r="C6" s="13" t="s">
        <v>3</v>
      </c>
      <c r="D6" s="13" t="s">
        <v>24</v>
      </c>
      <c r="E6" s="13" t="s">
        <v>25</v>
      </c>
      <c r="F6" s="13" t="s">
        <v>26</v>
      </c>
      <c r="G6" s="13" t="s">
        <v>27</v>
      </c>
    </row>
    <row r="7" customFormat="false" ht="21.75" hidden="false" customHeight="true" outlineLevel="0" collapsed="false">
      <c r="B7" s="14" t="str">
        <f aca="false">'Raw – Monthly Paid Orders'!B6</f>
        <v>Apr 2012</v>
      </c>
      <c r="C7" s="15" t="n">
        <f aca="false">'Raw – Monthly Paid Orders'!C6</f>
        <v>19272</v>
      </c>
      <c r="D7" s="15" t="n">
        <f aca="false">'Raw – Monthly Paid Orders'!D6</f>
        <v>0</v>
      </c>
      <c r="E7" s="16" t="s">
        <v>28</v>
      </c>
      <c r="F7" s="15" t="n">
        <f aca="false">'Raw – Monthly Paid Orders'!E6</f>
        <v>1741</v>
      </c>
      <c r="G7" s="17" t="n">
        <f aca="false">IFERROR((C7-F7)/F7,"N/A")</f>
        <v>10.0695002871913</v>
      </c>
    </row>
    <row r="8" customFormat="false" ht="21.75" hidden="false" customHeight="true" outlineLevel="0" collapsed="false">
      <c r="B8" s="18" t="str">
        <f aca="false">'Raw – Monthly Paid Orders'!B7</f>
        <v>May 2012</v>
      </c>
      <c r="C8" s="19" t="n">
        <f aca="false">'Raw – Monthly Paid Orders'!C7</f>
        <v>24787</v>
      </c>
      <c r="D8" s="19" t="n">
        <f aca="false">'Raw – Monthly Paid Orders'!D7</f>
        <v>19272</v>
      </c>
      <c r="E8" s="20" t="n">
        <f aca="false">IFERROR((C8-D8)/D8,"N/A")</f>
        <v>0.286166459111665</v>
      </c>
      <c r="F8" s="19" t="n">
        <f aca="false">'Raw – Monthly Paid Orders'!E7</f>
        <v>4000</v>
      </c>
      <c r="G8" s="20" t="n">
        <f aca="false">IFERROR((C8-F8)/F8,"N/A")</f>
        <v>5.19675</v>
      </c>
    </row>
    <row r="9" customFormat="false" ht="21.75" hidden="false" customHeight="true" outlineLevel="0" collapsed="false">
      <c r="B9" s="14" t="str">
        <f aca="false">'Raw – Monthly Paid Orders'!B8</f>
        <v>Jun 2012</v>
      </c>
      <c r="C9" s="15" t="n">
        <f aca="false">'Raw – Monthly Paid Orders'!C8</f>
        <v>22169</v>
      </c>
      <c r="D9" s="15" t="n">
        <f aca="false">'Raw – Monthly Paid Orders'!D8</f>
        <v>24787</v>
      </c>
      <c r="E9" s="21" t="n">
        <f aca="false">IFERROR((C9-D9)/D9,"N/A")</f>
        <v>-0.105619881389438</v>
      </c>
      <c r="F9" s="15" t="n">
        <f aca="false">'Raw – Monthly Paid Orders'!E8</f>
        <v>4864</v>
      </c>
      <c r="G9" s="17" t="n">
        <f aca="false">IFERROR((C9-F9)/F9,"N/A")</f>
        <v>3.55777138157895</v>
      </c>
    </row>
    <row r="10" customFormat="false" ht="21.75" hidden="false" customHeight="true" outlineLevel="0" collapsed="false">
      <c r="B10" s="18" t="str">
        <f aca="false">'Raw – Monthly Paid Orders'!B9</f>
        <v>Jul 2012</v>
      </c>
      <c r="C10" s="19" t="n">
        <f aca="false">'Raw – Monthly Paid Orders'!C9</f>
        <v>25164</v>
      </c>
      <c r="D10" s="19" t="n">
        <f aca="false">'Raw – Monthly Paid Orders'!D9</f>
        <v>22169</v>
      </c>
      <c r="E10" s="20" t="n">
        <f aca="false">IFERROR((C10-D10)/D10,"N/A")</f>
        <v>0.135098561053724</v>
      </c>
      <c r="F10" s="19" t="n">
        <f aca="false">'Raw – Monthly Paid Orders'!E9</f>
        <v>6308</v>
      </c>
      <c r="G10" s="20" t="n">
        <f aca="false">IFERROR((C10-F10)/F10,"N/A")</f>
        <v>2.98922003804692</v>
      </c>
    </row>
    <row r="11" customFormat="false" ht="21.75" hidden="false" customHeight="true" outlineLevel="0" collapsed="false">
      <c r="B11" s="14" t="str">
        <f aca="false">'Raw – Monthly Paid Orders'!B10</f>
        <v>Aug 2012</v>
      </c>
      <c r="C11" s="15" t="n">
        <f aca="false">'Raw – Monthly Paid Orders'!C10</f>
        <v>24170</v>
      </c>
      <c r="D11" s="15" t="n">
        <f aca="false">'Raw – Monthly Paid Orders'!D10</f>
        <v>25164</v>
      </c>
      <c r="E11" s="21" t="n">
        <f aca="false">IFERROR((C11-D11)/D11,"N/A")</f>
        <v>-0.0395008742648228</v>
      </c>
      <c r="F11" s="15" t="n">
        <f aca="false">'Raw – Monthly Paid Orders'!E10</f>
        <v>8288</v>
      </c>
      <c r="G11" s="17" t="n">
        <f aca="false">IFERROR((C11-F11)/F11,"N/A")</f>
        <v>1.91626447876448</v>
      </c>
    </row>
    <row r="12" customFormat="false" ht="21.75" hidden="false" customHeight="true" outlineLevel="0" collapsed="false">
      <c r="B12" s="18" t="str">
        <f aca="false">'Raw – Monthly Paid Orders'!B11</f>
        <v>Sep 2012</v>
      </c>
      <c r="C12" s="19" t="n">
        <f aca="false">'Raw – Monthly Paid Orders'!C11</f>
        <v>22952</v>
      </c>
      <c r="D12" s="19" t="n">
        <f aca="false">'Raw – Monthly Paid Orders'!D11</f>
        <v>24170</v>
      </c>
      <c r="E12" s="22" t="n">
        <f aca="false">IFERROR((C12-D12)/D12,"N/A")</f>
        <v>-0.0503930492345883</v>
      </c>
      <c r="F12" s="19" t="n">
        <f aca="false">'Raw – Monthly Paid Orders'!E11</f>
        <v>8512</v>
      </c>
      <c r="G12" s="20" t="n">
        <f aca="false">IFERROR((C12-F12)/F12,"N/A")</f>
        <v>1.69642857142857</v>
      </c>
    </row>
    <row r="13" customFormat="false" ht="21.75" hidden="false" customHeight="true" outlineLevel="0" collapsed="false">
      <c r="B13" s="14" t="str">
        <f aca="false">'Raw – Monthly Paid Orders'!B12</f>
        <v>Oct 2012</v>
      </c>
      <c r="C13" s="15" t="n">
        <f aca="false">'Raw – Monthly Paid Orders'!C12</f>
        <v>25638</v>
      </c>
      <c r="D13" s="15" t="n">
        <f aca="false">'Raw – Monthly Paid Orders'!D12</f>
        <v>22952</v>
      </c>
      <c r="E13" s="17" t="n">
        <f aca="false">IFERROR((C13-D13)/D13,"N/A")</f>
        <v>0.117026838619728</v>
      </c>
      <c r="F13" s="15" t="n">
        <f aca="false">'Raw – Monthly Paid Orders'!E12</f>
        <v>10115</v>
      </c>
      <c r="G13" s="17" t="n">
        <f aca="false">IFERROR((C13-F13)/F13,"N/A")</f>
        <v>1.53465150766189</v>
      </c>
    </row>
    <row r="14" customFormat="false" ht="21.75" hidden="false" customHeight="true" outlineLevel="0" collapsed="false">
      <c r="B14" s="18" t="str">
        <f aca="false">'Raw – Monthly Paid Orders'!B13</f>
        <v>Nov 2012</v>
      </c>
      <c r="C14" s="19" t="n">
        <f aca="false">'Raw – Monthly Paid Orders'!C13</f>
        <v>25808</v>
      </c>
      <c r="D14" s="19" t="n">
        <f aca="false">'Raw – Monthly Paid Orders'!D13</f>
        <v>25638</v>
      </c>
      <c r="E14" s="20" t="n">
        <f aca="false">IFERROR((C14-D14)/D14,"N/A")</f>
        <v>0.00663078243232701</v>
      </c>
      <c r="F14" s="19" t="n">
        <f aca="false">'Raw – Monthly Paid Orders'!E13</f>
        <v>12040</v>
      </c>
      <c r="G14" s="20" t="n">
        <f aca="false">IFERROR((C14-F14)/F14,"N/A")</f>
        <v>1.14352159468439</v>
      </c>
    </row>
    <row r="15" customFormat="false" ht="21.75" hidden="false" customHeight="true" outlineLevel="0" collapsed="false">
      <c r="B15" s="14" t="str">
        <f aca="false">'Raw – Monthly Paid Orders'!B14</f>
        <v>Dec 2012</v>
      </c>
      <c r="C15" s="15" t="n">
        <f aca="false">'Raw – Monthly Paid Orders'!C14</f>
        <v>30978</v>
      </c>
      <c r="D15" s="15" t="n">
        <f aca="false">'Raw – Monthly Paid Orders'!D14</f>
        <v>25808</v>
      </c>
      <c r="E15" s="17" t="n">
        <f aca="false">IFERROR((C15-D15)/D15,"N/A")</f>
        <v>0.200325480471172</v>
      </c>
      <c r="F15" s="15" t="n">
        <f aca="false">'Raw – Monthly Paid Orders'!E14</f>
        <v>14808</v>
      </c>
      <c r="G15" s="17" t="n">
        <f aca="false">IFERROR((C15-F15)/F15,"N/A")</f>
        <v>1.0919773095624</v>
      </c>
    </row>
    <row r="16" customFormat="false" ht="21.75" hidden="false" customHeight="true" outlineLevel="0" collapsed="false">
      <c r="B16" s="18" t="str">
        <f aca="false">'Raw – Monthly Paid Orders'!B15</f>
        <v>Jan 2013</v>
      </c>
      <c r="C16" s="19" t="n">
        <f aca="false">'Raw – Monthly Paid Orders'!C15</f>
        <v>31327</v>
      </c>
      <c r="D16" s="19" t="n">
        <f aca="false">'Raw – Monthly Paid Orders'!D15</f>
        <v>30978</v>
      </c>
      <c r="E16" s="20" t="n">
        <f aca="false">IFERROR((C16-D16)/D16,"N/A")</f>
        <v>0.0112660597843631</v>
      </c>
      <c r="F16" s="19" t="n">
        <f aca="false">'Raw – Monthly Paid Orders'!E15</f>
        <v>15633</v>
      </c>
      <c r="G16" s="20" t="n">
        <f aca="false">IFERROR((C16-F16)/F16,"N/A")</f>
        <v>1.00390200217489</v>
      </c>
    </row>
    <row r="17" customFormat="false" ht="21.75" hidden="false" customHeight="true" outlineLevel="0" collapsed="false">
      <c r="B17" s="14" t="str">
        <f aca="false">'Raw – Monthly Paid Orders'!B16</f>
        <v>Feb 2013</v>
      </c>
      <c r="C17" s="15" t="n">
        <f aca="false">'Raw – Monthly Paid Orders'!C16</f>
        <v>27305</v>
      </c>
      <c r="D17" s="15" t="n">
        <f aca="false">'Raw – Monthly Paid Orders'!D16</f>
        <v>31327</v>
      </c>
      <c r="E17" s="21" t="n">
        <f aca="false">IFERROR((C17-D17)/D17,"N/A")</f>
        <v>-0.128387652823443</v>
      </c>
      <c r="F17" s="15" t="n">
        <f aca="false">'Raw – Monthly Paid Orders'!E16</f>
        <v>15469</v>
      </c>
      <c r="G17" s="17" t="n">
        <f aca="false">IFERROR((C17-F17)/F17,"N/A")</f>
        <v>0.765143189605017</v>
      </c>
    </row>
    <row r="18" customFormat="false" ht="21.75" hidden="false" customHeight="true" outlineLevel="0" collapsed="false">
      <c r="B18" s="18" t="str">
        <f aca="false">'Raw – Monthly Paid Orders'!B17</f>
        <v>Mar 2013</v>
      </c>
      <c r="C18" s="19" t="n">
        <f aca="false">'Raw – Monthly Paid Orders'!C17</f>
        <v>38336</v>
      </c>
      <c r="D18" s="19" t="n">
        <f aca="false">'Raw – Monthly Paid Orders'!D17</f>
        <v>27305</v>
      </c>
      <c r="E18" s="20" t="n">
        <f aca="false">IFERROR((C18-D18)/D18,"N/A")</f>
        <v>0.403991942867607</v>
      </c>
      <c r="F18" s="19" t="n">
        <f aca="false">'Raw – Monthly Paid Orders'!E17</f>
        <v>18523</v>
      </c>
      <c r="G18" s="20" t="n">
        <f aca="false">IFERROR((C18-F18)/F18,"N/A")</f>
        <v>1.06964314635858</v>
      </c>
    </row>
    <row r="19" customFormat="false" ht="21.75" hidden="false" customHeight="true" outlineLevel="0" collapsed="false">
      <c r="B19" s="14" t="str">
        <f aca="false">'Raw – Monthly Paid Orders'!B18</f>
        <v>Apr 2013</v>
      </c>
      <c r="C19" s="15" t="n">
        <f aca="false">'Raw – Monthly Paid Orders'!C18</f>
        <v>12158</v>
      </c>
      <c r="D19" s="15" t="n">
        <f aca="false">'Raw – Monthly Paid Orders'!D18</f>
        <v>38336</v>
      </c>
      <c r="E19" s="21" t="n">
        <f aca="false">IFERROR((C19-D19)/D19,"N/A")</f>
        <v>-0.682856844741235</v>
      </c>
      <c r="F19" s="15" t="n">
        <f aca="false">'Raw – Monthly Paid Orders'!E18</f>
        <v>7900</v>
      </c>
      <c r="G19" s="17" t="n">
        <f aca="false">IFERROR((C19-F19)/F19,"N/A")</f>
        <v>0.538987341772152</v>
      </c>
    </row>
    <row r="20" customFormat="false" ht="24" hidden="false" customHeight="true" outlineLevel="0" collapsed="false">
      <c r="B20" s="4" t="s">
        <v>29</v>
      </c>
      <c r="C20" s="23" t="n">
        <f aca="false">SUM(C7:C19)</f>
        <v>330064</v>
      </c>
      <c r="D20" s="4" t="s">
        <v>30</v>
      </c>
      <c r="E20" s="4" t="s">
        <v>30</v>
      </c>
      <c r="F20" s="4" t="s">
        <v>30</v>
      </c>
      <c r="G20" s="24" t="n">
        <f aca="false">AVERAGEIF(G7:G19,"&lt;&gt;N/A")</f>
        <v>2.50567391144842</v>
      </c>
    </row>
    <row r="22" customFormat="false" ht="18" hidden="false" customHeight="true" outlineLevel="0" collapsed="false">
      <c r="B22" s="9" t="s">
        <v>31</v>
      </c>
      <c r="C22" s="10" t="s">
        <v>32</v>
      </c>
    </row>
    <row r="23" customFormat="false" ht="18" hidden="false" customHeight="true" outlineLevel="0" collapsed="false">
      <c r="C23" s="25" t="s">
        <v>33</v>
      </c>
    </row>
    <row r="24" customFormat="false" ht="18" hidden="false" customHeight="true" outlineLevel="0" collapsed="false">
      <c r="C24" s="26" t="s">
        <v>34</v>
      </c>
    </row>
  </sheetData>
  <mergeCells count="3">
    <mergeCell ref="B2:G2"/>
    <mergeCell ref="B3:G3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5" min="4" style="1" width="20"/>
    <col collapsed="false" customWidth="true" hidden="false" outlineLevel="0" max="7" min="6" style="1" width="22"/>
  </cols>
  <sheetData>
    <row r="2" customFormat="false" ht="30" hidden="false" customHeight="true" outlineLevel="0" collapsed="false">
      <c r="B2" s="11" t="s">
        <v>35</v>
      </c>
      <c r="C2" s="11"/>
      <c r="D2" s="11"/>
      <c r="E2" s="11"/>
      <c r="F2" s="11"/>
      <c r="G2" s="11"/>
    </row>
    <row r="3" customFormat="false" ht="18" hidden="false" customHeight="true" outlineLevel="0" collapsed="false">
      <c r="B3" s="12" t="s">
        <v>36</v>
      </c>
      <c r="C3" s="12"/>
      <c r="D3" s="12"/>
      <c r="E3" s="12"/>
      <c r="F3" s="12"/>
      <c r="G3" s="12"/>
    </row>
    <row r="4" customFormat="false" ht="27.75" hidden="false" customHeight="true" outlineLevel="0" collapsed="false">
      <c r="B4" s="3" t="s">
        <v>37</v>
      </c>
      <c r="C4" s="3"/>
      <c r="D4" s="3"/>
      <c r="E4" s="3"/>
      <c r="F4" s="3"/>
      <c r="G4" s="3"/>
    </row>
    <row r="5" customFormat="false" ht="21.75" hidden="false" customHeight="true" outlineLevel="0" collapsed="false">
      <c r="B5" s="27" t="s">
        <v>38</v>
      </c>
      <c r="C5" s="27"/>
      <c r="D5" s="27"/>
      <c r="E5" s="27"/>
      <c r="F5" s="27"/>
      <c r="G5" s="27"/>
    </row>
    <row r="6" customFormat="false" ht="39.75" hidden="false" customHeight="true" outlineLevel="0" collapsed="false">
      <c r="B6" s="13" t="s">
        <v>2</v>
      </c>
      <c r="C6" s="13" t="s">
        <v>39</v>
      </c>
      <c r="D6" s="13" t="s">
        <v>40</v>
      </c>
      <c r="E6" s="13" t="s">
        <v>41</v>
      </c>
      <c r="F6" s="13" t="s">
        <v>42</v>
      </c>
      <c r="G6" s="13" t="s">
        <v>43</v>
      </c>
    </row>
    <row r="7" customFormat="false" ht="21.75" hidden="false" customHeight="true" outlineLevel="0" collapsed="false">
      <c r="B7" s="28" t="s">
        <v>6</v>
      </c>
      <c r="C7" s="6" t="n">
        <v>15458</v>
      </c>
      <c r="D7" s="6" t="n">
        <v>9420</v>
      </c>
      <c r="E7" s="6" t="n">
        <v>8712</v>
      </c>
      <c r="F7" s="6" t="n">
        <v>5072</v>
      </c>
      <c r="G7" s="21" t="n">
        <f aca="false">IFERROR(F7/E7,"N/A")</f>
        <v>0.5821854912764</v>
      </c>
    </row>
    <row r="8" customFormat="false" ht="21.75" hidden="false" customHeight="true" outlineLevel="0" collapsed="false">
      <c r="B8" s="29" t="s">
        <v>7</v>
      </c>
      <c r="C8" s="8" t="n">
        <v>16851</v>
      </c>
      <c r="D8" s="8" t="n">
        <v>11244</v>
      </c>
      <c r="E8" s="8" t="n">
        <v>9420</v>
      </c>
      <c r="F8" s="8" t="n">
        <v>6134</v>
      </c>
      <c r="G8" s="20" t="n">
        <f aca="false">IFERROR(F8/E8,"N/A")</f>
        <v>0.651167728237792</v>
      </c>
    </row>
    <row r="9" customFormat="false" ht="21.75" hidden="false" customHeight="true" outlineLevel="0" collapsed="false">
      <c r="B9" s="28" t="s">
        <v>8</v>
      </c>
      <c r="C9" s="6" t="n">
        <v>17606</v>
      </c>
      <c r="D9" s="6" t="n">
        <v>10949</v>
      </c>
      <c r="E9" s="6" t="n">
        <v>11244</v>
      </c>
      <c r="F9" s="6" t="n">
        <v>6801</v>
      </c>
      <c r="G9" s="17" t="n">
        <f aca="false">IFERROR(F9/E9,"N/A")</f>
        <v>0.604855923159018</v>
      </c>
    </row>
    <row r="10" customFormat="false" ht="21.75" hidden="false" customHeight="true" outlineLevel="0" collapsed="false">
      <c r="B10" s="29" t="s">
        <v>9</v>
      </c>
      <c r="C10" s="8" t="n">
        <v>18680</v>
      </c>
      <c r="D10" s="8" t="n">
        <v>12050</v>
      </c>
      <c r="E10" s="8" t="n">
        <v>10949</v>
      </c>
      <c r="F10" s="8" t="n">
        <v>7056</v>
      </c>
      <c r="G10" s="20" t="n">
        <f aca="false">IFERROR(F10/E10,"N/A")</f>
        <v>0.644442414832405</v>
      </c>
    </row>
    <row r="11" customFormat="false" ht="21.75" hidden="false" customHeight="true" outlineLevel="0" collapsed="false">
      <c r="B11" s="28" t="s">
        <v>10</v>
      </c>
      <c r="C11" s="6" t="n">
        <v>19102</v>
      </c>
      <c r="D11" s="6" t="n">
        <v>11951</v>
      </c>
      <c r="E11" s="6" t="n">
        <v>12050</v>
      </c>
      <c r="F11" s="6" t="n">
        <v>7384</v>
      </c>
      <c r="G11" s="17" t="n">
        <f aca="false">IFERROR(F11/E11,"N/A")</f>
        <v>0.612780082987552</v>
      </c>
    </row>
    <row r="12" customFormat="false" ht="21.75" hidden="false" customHeight="true" outlineLevel="0" collapsed="false">
      <c r="B12" s="29" t="s">
        <v>11</v>
      </c>
      <c r="C12" s="8" t="n">
        <v>19393</v>
      </c>
      <c r="D12" s="8" t="n">
        <v>11526</v>
      </c>
      <c r="E12" s="8" t="n">
        <v>11951</v>
      </c>
      <c r="F12" s="8" t="n">
        <v>7150</v>
      </c>
      <c r="G12" s="22" t="n">
        <f aca="false">IFERROR(F12/E12,"N/A")</f>
        <v>0.598276294870722</v>
      </c>
    </row>
    <row r="13" customFormat="false" ht="21.75" hidden="false" customHeight="true" outlineLevel="0" collapsed="false">
      <c r="B13" s="28" t="s">
        <v>12</v>
      </c>
      <c r="C13" s="6" t="n">
        <v>19665</v>
      </c>
      <c r="D13" s="6" t="n">
        <v>12489</v>
      </c>
      <c r="E13" s="6" t="n">
        <v>11526</v>
      </c>
      <c r="F13" s="6" t="n">
        <v>7381</v>
      </c>
      <c r="G13" s="17" t="n">
        <f aca="false">IFERROR(F13/E13,"N/A")</f>
        <v>0.640378275203887</v>
      </c>
    </row>
    <row r="14" customFormat="false" ht="21.75" hidden="false" customHeight="true" outlineLevel="0" collapsed="false">
      <c r="B14" s="29" t="s">
        <v>13</v>
      </c>
      <c r="C14" s="8" t="n">
        <v>20114</v>
      </c>
      <c r="D14" s="8" t="n">
        <v>12746</v>
      </c>
      <c r="E14" s="8" t="n">
        <v>12489</v>
      </c>
      <c r="F14" s="8" t="n">
        <v>7740</v>
      </c>
      <c r="G14" s="20" t="n">
        <f aca="false">IFERROR(F14/E14,"N/A")</f>
        <v>0.619745375930819</v>
      </c>
    </row>
    <row r="15" customFormat="false" ht="21.75" hidden="false" customHeight="true" outlineLevel="0" collapsed="false">
      <c r="B15" s="28" t="s">
        <v>14</v>
      </c>
      <c r="C15" s="6" t="n">
        <v>21272</v>
      </c>
      <c r="D15" s="6" t="n">
        <v>14299</v>
      </c>
      <c r="E15" s="6" t="n">
        <v>12746</v>
      </c>
      <c r="F15" s="6" t="n">
        <v>8506</v>
      </c>
      <c r="G15" s="17" t="n">
        <f aca="false">IFERROR(F15/E15,"N/A")</f>
        <v>0.667346618546995</v>
      </c>
    </row>
    <row r="16" customFormat="false" ht="21.75" hidden="false" customHeight="true" outlineLevel="0" collapsed="false">
      <c r="B16" s="29" t="s">
        <v>15</v>
      </c>
      <c r="C16" s="8" t="n">
        <v>22305</v>
      </c>
      <c r="D16" s="8" t="n">
        <v>14667</v>
      </c>
      <c r="E16" s="8" t="n">
        <v>14299</v>
      </c>
      <c r="F16" s="8" t="n">
        <v>9239</v>
      </c>
      <c r="G16" s="20" t="n">
        <f aca="false">IFERROR(F16/E16,"N/A")</f>
        <v>0.646129099937059</v>
      </c>
    </row>
    <row r="17" customFormat="false" ht="21.75" hidden="false" customHeight="true" outlineLevel="0" collapsed="false">
      <c r="B17" s="28" t="s">
        <v>16</v>
      </c>
      <c r="C17" s="6" t="n">
        <v>22814</v>
      </c>
      <c r="D17" s="6" t="n">
        <v>13612</v>
      </c>
      <c r="E17" s="6" t="n">
        <v>14667</v>
      </c>
      <c r="F17" s="6" t="n">
        <v>8812</v>
      </c>
      <c r="G17" s="17" t="n">
        <f aca="false">IFERROR(F17/E17,"N/A")</f>
        <v>0.600804527169837</v>
      </c>
    </row>
    <row r="18" customFormat="false" ht="21.75" hidden="false" customHeight="true" outlineLevel="0" collapsed="false">
      <c r="B18" s="29" t="s">
        <v>17</v>
      </c>
      <c r="C18" s="8" t="n">
        <v>23648</v>
      </c>
      <c r="D18" s="8" t="n">
        <v>15721</v>
      </c>
      <c r="E18" s="8" t="n">
        <v>13612</v>
      </c>
      <c r="F18" s="8" t="n">
        <v>9095</v>
      </c>
      <c r="G18" s="20" t="n">
        <f aca="false">IFERROR(F18/E18,"N/A")</f>
        <v>0.668160446664708</v>
      </c>
    </row>
    <row r="19" customFormat="false" ht="21.75" hidden="false" customHeight="true" outlineLevel="0" collapsed="false">
      <c r="B19" s="28" t="s">
        <v>18</v>
      </c>
      <c r="C19" s="6" t="n">
        <v>21791</v>
      </c>
      <c r="D19" s="6" t="n">
        <v>7954</v>
      </c>
      <c r="E19" s="6" t="n">
        <v>15721</v>
      </c>
      <c r="F19" s="6" t="n">
        <v>5677</v>
      </c>
      <c r="G19" s="21" t="n">
        <f aca="false">IFERROR(F19/E19,"N/A")</f>
        <v>0.361109344189301</v>
      </c>
    </row>
    <row r="20" customFormat="false" ht="24" hidden="false" customHeight="true" outlineLevel="0" collapsed="false">
      <c r="B20" s="4" t="s">
        <v>44</v>
      </c>
      <c r="C20" s="23" t="n">
        <f aca="false">ROUND(AVERAGE(C7:C18),0)</f>
        <v>19742</v>
      </c>
      <c r="D20" s="23" t="n">
        <f aca="false">ROUND(AVERAGE(D7:D18),0)</f>
        <v>12556</v>
      </c>
      <c r="E20" s="23" t="n">
        <f aca="false">ROUND(AVERAGE(E7:E18),0)</f>
        <v>11972</v>
      </c>
      <c r="F20" s="23" t="n">
        <f aca="false">ROUND(AVERAGE(F7:F18),0)</f>
        <v>7531</v>
      </c>
      <c r="G20" s="24" t="n">
        <f aca="false">AVERAGE(G7:G18)</f>
        <v>0.628022689901433</v>
      </c>
    </row>
    <row r="21" customFormat="false" ht="24" hidden="false" customHeight="true" outlineLevel="0" collapsed="false">
      <c r="B21" s="3" t="s">
        <v>45</v>
      </c>
      <c r="C21" s="3"/>
      <c r="D21" s="3"/>
      <c r="E21" s="3"/>
      <c r="F21" s="3"/>
      <c r="G21" s="3"/>
    </row>
  </sheetData>
  <mergeCells count="5">
    <mergeCell ref="B2:G2"/>
    <mergeCell ref="B3:G3"/>
    <mergeCell ref="B4:G4"/>
    <mergeCell ref="B5:G5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62"/>
  </cols>
  <sheetData>
    <row r="2" customFormat="false" ht="30" hidden="false" customHeight="true" outlineLevel="0" collapsed="false">
      <c r="B2" s="2" t="s">
        <v>46</v>
      </c>
      <c r="C2" s="2"/>
    </row>
    <row r="4" customFormat="false" ht="25.5" hidden="false" customHeight="true" outlineLevel="0" collapsed="false">
      <c r="B4" s="30" t="s">
        <v>47</v>
      </c>
      <c r="C4" s="31" t="s">
        <v>48</v>
      </c>
    </row>
    <row r="5" customFormat="false" ht="25.5" hidden="false" customHeight="true" outlineLevel="0" collapsed="false">
      <c r="B5" s="32" t="s">
        <v>49</v>
      </c>
      <c r="C5" s="32" t="s">
        <v>50</v>
      </c>
    </row>
    <row r="6" customFormat="false" ht="25.5" hidden="false" customHeight="true" outlineLevel="0" collapsed="false">
      <c r="B6" s="33" t="s">
        <v>51</v>
      </c>
      <c r="C6" s="33" t="s">
        <v>52</v>
      </c>
    </row>
    <row r="7" customFormat="false" ht="25.5" hidden="false" customHeight="true" outlineLevel="0" collapsed="false">
      <c r="B7" s="32" t="s">
        <v>53</v>
      </c>
      <c r="C7" s="32" t="s">
        <v>54</v>
      </c>
    </row>
    <row r="8" customFormat="false" ht="25.5" hidden="false" customHeight="true" outlineLevel="0" collapsed="false">
      <c r="B8" s="33" t="s">
        <v>55</v>
      </c>
      <c r="C8" s="33" t="s">
        <v>56</v>
      </c>
    </row>
    <row r="9" customFormat="false" ht="25.5" hidden="false" customHeight="true" outlineLevel="0" collapsed="false">
      <c r="B9" s="32" t="s">
        <v>57</v>
      </c>
      <c r="C9" s="32" t="s">
        <v>58</v>
      </c>
    </row>
    <row r="10" customFormat="false" ht="25.5" hidden="false" customHeight="true" outlineLevel="0" collapsed="false">
      <c r="B10" s="33" t="s">
        <v>59</v>
      </c>
      <c r="C10" s="33" t="s">
        <v>60</v>
      </c>
    </row>
    <row r="11" customFormat="false" ht="25.5" hidden="false" customHeight="true" outlineLevel="0" collapsed="false">
      <c r="B11" s="32" t="s">
        <v>61</v>
      </c>
      <c r="C11" s="32" t="s">
        <v>62</v>
      </c>
    </row>
    <row r="12" customFormat="false" ht="25.5" hidden="false" customHeight="true" outlineLevel="0" collapsed="false">
      <c r="B12" s="33" t="s">
        <v>63</v>
      </c>
      <c r="C12" s="33" t="s">
        <v>64</v>
      </c>
    </row>
    <row r="13" customFormat="false" ht="25.5" hidden="false" customHeight="true" outlineLevel="0" collapsed="false">
      <c r="B13" s="32" t="s">
        <v>65</v>
      </c>
      <c r="C13" s="32" t="s">
        <v>66</v>
      </c>
    </row>
    <row r="14" customFormat="false" ht="25.5" hidden="false" customHeight="true" outlineLevel="0" collapsed="false">
      <c r="B14" s="33" t="s">
        <v>67</v>
      </c>
      <c r="C14" s="33" t="s">
        <v>68</v>
      </c>
    </row>
    <row r="15" customFormat="false" ht="25.5" hidden="false" customHeight="true" outlineLevel="0" collapsed="false">
      <c r="B15" s="32" t="s">
        <v>69</v>
      </c>
      <c r="C15" s="32" t="s">
        <v>70</v>
      </c>
    </row>
    <row r="16" customFormat="false" ht="25.5" hidden="false" customHeight="true" outlineLevel="0" collapsed="false">
      <c r="B16" s="33" t="s">
        <v>71</v>
      </c>
      <c r="C16" s="33" t="s">
        <v>72</v>
      </c>
    </row>
    <row r="18" customFormat="false" ht="25.5" hidden="false" customHeight="true" outlineLevel="0" collapsed="false">
      <c r="B18" s="34" t="s">
        <v>73</v>
      </c>
      <c r="C18" s="34" t="s">
        <v>74</v>
      </c>
    </row>
    <row r="19" customFormat="false" ht="25.5" hidden="false" customHeight="true" outlineLevel="0" collapsed="false">
      <c r="B19" s="34" t="s">
        <v>75</v>
      </c>
      <c r="C19" s="34" t="s">
        <v>76</v>
      </c>
    </row>
    <row r="20" customFormat="false" ht="25.5" hidden="false" customHeight="true" outlineLevel="0" collapsed="false">
      <c r="B20" s="34" t="s">
        <v>77</v>
      </c>
      <c r="C20" s="34" t="s">
        <v>78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2026-03-17T15:48:44Z</dcterms:created>
  <dc:creator>openpyxl</dc:creator>
  <dc:description/>
  <dc:language>en-US</dc:language>
  <cp:lastModifiedBy/>
  <dcterms:modified xsi:type="dcterms:W3CDTF">2026-03-17T15:49:06Z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